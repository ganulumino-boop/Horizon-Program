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unch Vehicle Siz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<sst xmlns="http://schemas.openxmlformats.org/spreadsheetml/2006/main" count="50" uniqueCount="36">
  <si>
    <t xml:space="preserve">OBLIVION XXX — Launch Vehicle Sizing</t>
  </si>
  <si>
    <t xml:space="preserve">RS-25 All Stages  |  Δv = 11,000 m/s  |  TWR = 1.6  |  Goal = LEO  |  April 27, 2026</t>
  </si>
  <si>
    <t xml:space="preserve">Stage / Config</t>
  </si>
  <si>
    <t xml:space="preserve">A — Dry Mass</t>
  </si>
  <si>
    <t xml:space="preserve">B — Wet Mass
/ Total Mass</t>
  </si>
  <si>
    <t xml:space="preserve">C — TWR Ratio</t>
  </si>
  <si>
    <t xml:space="preserve">D — Delta-v Needed</t>
  </si>
  <si>
    <t xml:space="preserve">E — Fuel Load</t>
  </si>
  <si>
    <t xml:space="preserve">F — Goal</t>
  </si>
  <si>
    <t xml:space="preserve">G — v_e</t>
  </si>
  <si>
    <t xml:space="preserve">H — Engine Count</t>
  </si>
  <si>
    <t xml:space="preserve">I — Engine Type</t>
  </si>
  <si>
    <t xml:space="preserve">J — F_total</t>
  </si>
  <si>
    <t xml:space="preserve">Single Stage
(Reference)</t>
  </si>
  <si>
    <t xml:space="preserve">1.6 TWR</t>
  </si>
  <si>
    <t xml:space="preserve">11,000 m/s</t>
  </si>
  <si>
    <t xml:space="preserve">LEO</t>
  </si>
  <si>
    <t xml:space="preserve">3,590 m/s</t>
  </si>
  <si>
    <t xml:space="preserve">RS-25</t>
  </si>
  <si>
    <t xml:space="preserve">2.183 GN</t>
  </si>
  <si>
    <t xml:space="preserve">Stage 1
(30% dry mass)</t>
  </si>
  <si>
    <t xml:space="preserve">4,500 m/s</t>
  </si>
  <si>
    <t xml:space="preserve">LEO — S1</t>
  </si>
  <si>
    <t xml:space="preserve">1.307 GN</t>
  </si>
  <si>
    <t xml:space="preserve">Stage 2
(30% dry mass)</t>
  </si>
  <si>
    <t xml:space="preserve">4,000 m/s</t>
  </si>
  <si>
    <t xml:space="preserve">LEO — S2</t>
  </si>
  <si>
    <t xml:space="preserve">345.5 MN</t>
  </si>
  <si>
    <t xml:space="preserve">Stage 3
(40% dry / payload)</t>
  </si>
  <si>
    <t xml:space="preserve">2,500 m/s</t>
  </si>
  <si>
    <t xml:space="preserve">LEO — S3</t>
  </si>
  <si>
    <t xml:space="preserve">81.8 MN</t>
  </si>
  <si>
    <t xml:space="preserve">TOTAL
All 3 Stages</t>
  </si>
  <si>
    <t xml:space="preserve">—</t>
  </si>
  <si>
    <t xml:space="preserve">Notes:  Blue = hardcoded inputs  |  Black = formulas  |  v_e = Isp(366 s) × 9.81 = 3,590 m/s  |  m₀ = m_dry × e^(Δv/v_e)  |  Fuel = m₀ − m_dry  |  F_total = 1.6 × m₀ × 9.81  |  Engines = ⌈F_total ÷ 1,859,000 N⌉</t>
  </si>
  <si>
    <t xml:space="preserve">Staging saves ~55,954,000 kg fuel vs single stage (76,776,000 kg vs 132,730,000 kg)  |  Engine count: 1,174 single stage  →  703 + 186 + 44 = 933 across 3 stages  |  Fuel reduction: 42%  |  Engine reduction: 20.5%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</si>
</sst>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kg&quot;"/>
    <numFmt numFmtId="166" formatCode="#,##0&quot; engines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444444"/>
      <name val="Arial"/>
      <family val="0"/>
      <charset val="1"/>
    </font>
    <font>
      <i val="true"/>
      <sz val="9"/>
      <color rgb="FF1F3864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EA8"/>
        <bgColor rgb="FF3366FF"/>
      </patternFill>
    </fill>
    <fill>
      <patternFill patternType="solid">
        <fgColor rgb="FFF2F2F2"/>
        <bgColor rgb="FFF9F9F9"/>
      </patternFill>
    </fill>
    <fill>
      <patternFill patternType="solid">
        <fgColor rgb="FFD6E4F7"/>
        <bgColor rgb="FFDEDEDE"/>
      </patternFill>
    </fill>
    <fill>
      <patternFill patternType="solid">
        <fgColor rgb="FFD9F0E8"/>
        <bgColor rgb="FFD6E4F7"/>
      </patternFill>
    </fill>
    <fill>
      <patternFill patternType="solid">
        <fgColor rgb="FFFEF3DC"/>
        <bgColor rgb="FFF2F2F2"/>
      </patternFill>
    </fill>
    <fill>
      <patternFill patternType="solid">
        <fgColor rgb="FFDEDEDE"/>
        <bgColor rgb="FFD6E4F7"/>
      </patternFill>
    </fill>
    <fill>
      <patternFill patternType="solid">
        <fgColor rgb="FFF9F9F9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EF3DC"/>
      <rgbColor rgb="FFD9F0E8"/>
      <rgbColor rgb="FF660066"/>
      <rgbColor rgb="FFFF8080"/>
      <rgbColor rgb="FF2E5EA8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EDEDE"/>
      <rgbColor rgb="FFF9F9F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21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9" min="9" style="0" width="17"/>
    <col collapsed="false" customWidth="true" hidden="false" outlineLevel="0" max="10" min="10" style="0" width="12"/>
    <col collapsed="false" customWidth="true" hidden="false" outlineLevel="0" max="11" min="11" style="0" width="15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36" hidden="false" customHeight="true" outlineLevel="0" collapsed="false">
      <c r="A4" s="4" t="s">
        <v>13</v>
      </c>
      <c r="B4" s="5" t="n">
        <v>6500000</v>
      </c>
      <c r="C4" s="5" t="n">
        <v>139230000</v>
      </c>
      <c r="D4" s="6" t="s">
        <v>14</v>
      </c>
      <c r="E4" s="7" t="s">
        <v>15</v>
      </c>
      <c r="F4" s="5" t="n">
        <v>132730000</v>
      </c>
      <c r="G4" s="6" t="s">
        <v>16</v>
      </c>
      <c r="H4" s="7" t="s">
        <v>17</v>
      </c>
      <c r="I4" s="8" t="n">
        <v>1174</v>
      </c>
      <c r="J4" s="6" t="s">
        <v>18</v>
      </c>
      <c r="K4" s="6" t="s">
        <v>19</v>
      </c>
    </row>
    <row r="5" customFormat="false" ht="36" hidden="false" customHeight="true" outlineLevel="0" collapsed="false">
      <c r="A5" s="9" t="s">
        <v>20</v>
      </c>
      <c r="B5" s="10" t="n">
        <v>1950000</v>
      </c>
      <c r="C5" s="10" t="n">
        <v>83276000</v>
      </c>
      <c r="D5" s="11" t="s">
        <v>14</v>
      </c>
      <c r="E5" s="12" t="s">
        <v>21</v>
      </c>
      <c r="F5" s="10" t="n">
        <v>59323000</v>
      </c>
      <c r="G5" s="11" t="s">
        <v>22</v>
      </c>
      <c r="H5" s="12" t="s">
        <v>17</v>
      </c>
      <c r="I5" s="13" t="n">
        <v>703</v>
      </c>
      <c r="J5" s="11" t="s">
        <v>18</v>
      </c>
      <c r="K5" s="11" t="s">
        <v>23</v>
      </c>
    </row>
    <row r="6" customFormat="false" ht="36" hidden="false" customHeight="true" outlineLevel="0" collapsed="false">
      <c r="A6" s="14" t="s">
        <v>24</v>
      </c>
      <c r="B6" s="15" t="n">
        <v>1950000</v>
      </c>
      <c r="C6" s="15" t="n">
        <v>22003000</v>
      </c>
      <c r="D6" s="16" t="s">
        <v>14</v>
      </c>
      <c r="E6" s="17" t="s">
        <v>25</v>
      </c>
      <c r="F6" s="15" t="n">
        <v>14845000</v>
      </c>
      <c r="G6" s="16" t="s">
        <v>26</v>
      </c>
      <c r="H6" s="17" t="s">
        <v>17</v>
      </c>
      <c r="I6" s="18" t="n">
        <v>186</v>
      </c>
      <c r="J6" s="16" t="s">
        <v>18</v>
      </c>
      <c r="K6" s="16" t="s">
        <v>27</v>
      </c>
    </row>
    <row r="7" customFormat="false" ht="36" hidden="false" customHeight="true" outlineLevel="0" collapsed="false">
      <c r="A7" s="19" t="s">
        <v>28</v>
      </c>
      <c r="B7" s="20" t="n">
        <v>2600000</v>
      </c>
      <c r="C7" s="20" t="n">
        <v>5208000</v>
      </c>
      <c r="D7" s="21" t="s">
        <v>14</v>
      </c>
      <c r="E7" s="22" t="s">
        <v>29</v>
      </c>
      <c r="F7" s="20" t="n">
        <v>2608000</v>
      </c>
      <c r="G7" s="21" t="s">
        <v>30</v>
      </c>
      <c r="H7" s="22" t="s">
        <v>17</v>
      </c>
      <c r="I7" s="23" t="n">
        <v>44</v>
      </c>
      <c r="J7" s="21" t="s">
        <v>18</v>
      </c>
      <c r="K7" s="21" t="s">
        <v>31</v>
      </c>
    </row>
    <row r="8" customFormat="false" ht="36" hidden="false" customHeight="true" outlineLevel="0" collapsed="false">
      <c r="A8" s="24" t="s">
        <v>32</v>
      </c>
      <c r="B8" s="25" t="n">
        <f aca="false">B5+B6+B7</f>
        <v>6500000</v>
      </c>
      <c r="C8" s="25" t="n">
        <f aca="false">C5</f>
        <v>83276000</v>
      </c>
      <c r="D8" s="26" t="s">
        <v>14</v>
      </c>
      <c r="E8" s="26" t="s">
        <v>15</v>
      </c>
      <c r="F8" s="25" t="n">
        <f aca="false">F5+F6+F7</f>
        <v>76776000</v>
      </c>
      <c r="G8" s="26" t="s">
        <v>16</v>
      </c>
      <c r="H8" s="26" t="s">
        <v>17</v>
      </c>
      <c r="I8" s="27" t="n">
        <f aca="false">I5+I6+I7</f>
        <v>933</v>
      </c>
      <c r="J8" s="26" t="s">
        <v>18</v>
      </c>
      <c r="K8" s="26" t="s">
        <v>33</v>
      </c>
    </row>
    <row r="9" customFormat="false" ht="36" hidden="false" customHeight="true" outlineLevel="0" collapsed="false"/>
    <row r="10" customFormat="false" ht="30" hidden="false" customHeight="true" outlineLevel="0" collapsed="false">
      <c r="A10" s="28" t="s">
        <v>34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</row>
    <row r="11" customFormat="false" ht="30" hidden="false" customHeight="true" outlineLevel="0" collapsed="false">
      <c r="A11" s="29" t="s">
        <v>35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</row>
  </sheetData>
  <mergeCells count="4">
    <mergeCell ref="A1:K1"/>
    <mergeCell ref="A2:K2"/>
    <mergeCell ref="A10:K10"/>
    <mergeCell ref="A11:K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2026-04-26T18:01:19Z</dcterms:created>
  <dc:creator>openpyxl</dc:creator>
  <dc:description/>
  <dc:language>en-US</dc:language>
  <cp:lastModifiedBy/>
  <dcterms:modified xsi:type="dcterms:W3CDTF">2026-04-26T18:01:19Z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